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BAO MINH\THE DIEN TU\"/>
    </mc:Choice>
  </mc:AlternateContent>
  <xr:revisionPtr revIDLastSave="0" documentId="13_ncr:1_{2FAE043E-DF35-4DA2-B510-D34452A4B09E}" xr6:coauthVersionLast="47" xr6:coauthVersionMax="47" xr10:uidLastSave="{00000000-0000-0000-0000-000000000000}"/>
  <bookViews>
    <workbookView xWindow="-103" yWindow="-103" windowWidth="16663" windowHeight="8743" activeTab="2" xr2:uid="{00000000-000D-0000-FFFF-FFFF00000000}"/>
  </bookViews>
  <sheets>
    <sheet name="Original" sheetId="3" r:id="rId1"/>
    <sheet name="Info" sheetId="1" r:id="rId2"/>
    <sheet name="Data" sheetId="2" r:id="rId3"/>
  </sheets>
  <definedNames>
    <definedName name="_xlnm._FilterDatabase" localSheetId="1" hidden="1">Info!$B$1:$G$1</definedName>
  </definedNames>
  <calcPr calcId="191029"/>
</workbook>
</file>

<file path=xl/calcChain.xml><?xml version="1.0" encoding="utf-8"?>
<calcChain xmlns="http://schemas.openxmlformats.org/spreadsheetml/2006/main">
  <c r="D10" i="1" l="1"/>
  <c r="D11" i="1"/>
  <c r="D12" i="1"/>
  <c r="D13" i="1"/>
  <c r="D14" i="1"/>
  <c r="D15" i="1"/>
  <c r="D16" i="1"/>
  <c r="C10" i="1"/>
  <c r="C11" i="1"/>
  <c r="C12" i="1"/>
  <c r="C13" i="1"/>
  <c r="C14" i="1"/>
  <c r="C15" i="1"/>
  <c r="C16" i="1"/>
  <c r="B10" i="1"/>
  <c r="B11" i="1"/>
  <c r="B12" i="1"/>
  <c r="B13" i="1"/>
  <c r="B14" i="1"/>
  <c r="B15" i="1"/>
  <c r="B16" i="1"/>
  <c r="C2" i="1"/>
  <c r="D2" i="1" l="1"/>
  <c r="D3" i="1"/>
  <c r="D4" i="1"/>
  <c r="D5" i="1"/>
  <c r="D6" i="1"/>
  <c r="D7" i="1"/>
  <c r="D8" i="1" l="1"/>
  <c r="D9" i="1"/>
  <c r="E6" i="3" l="1"/>
  <c r="B4" i="1" l="1"/>
  <c r="C4" i="1"/>
  <c r="B5" i="1"/>
  <c r="C5" i="1"/>
  <c r="B6" i="1"/>
  <c r="C6" i="1"/>
  <c r="B7" i="1"/>
  <c r="C7" i="1"/>
  <c r="B8" i="1"/>
  <c r="C8" i="1"/>
  <c r="B9" i="1"/>
  <c r="C9" i="1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B2" i="1" l="1"/>
  <c r="B3" i="1" l="1"/>
  <c r="C3" i="1"/>
  <c r="A9" i="3" l="1"/>
  <c r="A8" i="3"/>
  <c r="A3" i="1"/>
  <c r="F3" i="1" s="1"/>
  <c r="A4" i="1" l="1"/>
  <c r="F4" i="1" s="1"/>
  <c r="E2" i="1"/>
  <c r="F2" i="1"/>
  <c r="E3" i="1"/>
  <c r="E4" i="1" l="1"/>
  <c r="A5" i="1"/>
  <c r="F5" i="1" s="1"/>
  <c r="E5" i="1" l="1"/>
  <c r="A6" i="1"/>
  <c r="F6" i="1" s="1"/>
  <c r="A7" i="1"/>
  <c r="F7" i="1" s="1"/>
  <c r="E6" i="1" l="1"/>
  <c r="A8" i="1"/>
  <c r="F8" i="1" s="1"/>
  <c r="E7" i="1"/>
  <c r="E8" i="1" l="1"/>
  <c r="A9" i="1"/>
  <c r="F9" i="1" s="1"/>
  <c r="A10" i="1" l="1"/>
  <c r="E9" i="1"/>
  <c r="A11" i="1" l="1"/>
  <c r="E10" i="1"/>
  <c r="F10" i="1"/>
  <c r="A12" i="1" l="1"/>
  <c r="F11" i="1"/>
  <c r="E11" i="1"/>
  <c r="A13" i="1" l="1"/>
  <c r="E12" i="1"/>
  <c r="F12" i="1"/>
  <c r="A14" i="1" l="1"/>
  <c r="E13" i="1"/>
  <c r="F13" i="1"/>
  <c r="A15" i="1" l="1"/>
  <c r="E14" i="1"/>
  <c r="F14" i="1"/>
  <c r="A16" i="1" l="1"/>
  <c r="F15" i="1"/>
  <c r="E15" i="1"/>
  <c r="E16" i="1" l="1"/>
  <c r="F16" i="1"/>
</calcChain>
</file>

<file path=xl/sharedStrings.xml><?xml version="1.0" encoding="utf-8"?>
<sst xmlns="http://schemas.openxmlformats.org/spreadsheetml/2006/main" count="224" uniqueCount="57">
  <si>
    <t>Chủ hợp đồng</t>
    <phoneticPr fontId="1" type="noConversion"/>
  </si>
  <si>
    <t>Số hợp đồng</t>
    <phoneticPr fontId="1" type="noConversion"/>
  </si>
  <si>
    <t>Hiệu lực</t>
    <phoneticPr fontId="1" type="noConversion"/>
  </si>
  <si>
    <t>No</t>
    <phoneticPr fontId="1" type="noConversion"/>
  </si>
  <si>
    <t>Chủ hợp đồng:</t>
    <phoneticPr fontId="1" type="noConversion"/>
  </si>
  <si>
    <t>Số hợp đồng:</t>
    <phoneticPr fontId="1" type="noConversion"/>
  </si>
  <si>
    <t>Hiệu lực:</t>
    <phoneticPr fontId="1" type="noConversion"/>
  </si>
  <si>
    <t>Họ tên NĐBH:</t>
    <phoneticPr fontId="1" type="noConversion"/>
  </si>
  <si>
    <t>Năm sinh:</t>
    <phoneticPr fontId="1" type="noConversion"/>
  </si>
  <si>
    <t>CMND/CCCD:</t>
    <phoneticPr fontId="1" type="noConversion"/>
  </si>
  <si>
    <t>Chủ hợp đồng:</t>
  </si>
  <si>
    <t>Số hợp đồng:</t>
  </si>
  <si>
    <t>Hiệu lực:</t>
  </si>
  <si>
    <t>Họ tên NĐBH:</t>
  </si>
  <si>
    <t>Năm sinh:</t>
  </si>
  <si>
    <t>CMND/CCCD:</t>
  </si>
  <si>
    <t>CÔNG TY TRÁCH NHIỆM HỮU HẠN DINH DƯỠNG VIỆT ÁO</t>
  </si>
  <si>
    <t>10 tháng từ 01/08/2021 đến 27/05/2022 (Bao gồm cả 2 ngày biên)</t>
  </si>
  <si>
    <r>
      <rPr>
        <b/>
        <sz val="10"/>
        <color theme="0"/>
        <rFont val="Arial"/>
        <family val="2"/>
      </rPr>
      <t xml:space="preserve">LIST OF INSURED PERSON
</t>
    </r>
    <r>
      <rPr>
        <b/>
        <i/>
        <sz val="10"/>
        <color theme="0"/>
        <rFont val="Arial"/>
        <family val="2"/>
      </rPr>
      <t xml:space="preserve">DANH SÁCH NGƯỜI ĐƯỢC BẢO HIỂM
</t>
    </r>
  </si>
  <si>
    <r>
      <rPr>
        <sz val="10"/>
        <color theme="0"/>
        <rFont val="Arial"/>
        <family val="2"/>
      </rPr>
      <t xml:space="preserve">(Attached to and forming part of policy no.: AM0022/21I708001
</t>
    </r>
    <r>
      <rPr>
        <i/>
        <sz val="10"/>
        <color theme="0"/>
        <rFont val="Arial"/>
        <family val="2"/>
      </rPr>
      <t>Được đính kèm và cấu thành hợp đồng số: AM0022/21I708001)</t>
    </r>
  </si>
  <si>
    <r>
      <t xml:space="preserve">Policyholder
</t>
    </r>
    <r>
      <rPr>
        <i/>
        <sz val="10"/>
        <color theme="0"/>
        <rFont val="Arial"/>
        <family val="2"/>
      </rPr>
      <t>Chủ hợp đồng</t>
    </r>
  </si>
  <si>
    <r>
      <t>Period of Insurance</t>
    </r>
    <r>
      <rPr>
        <i/>
        <sz val="10"/>
        <color theme="0"/>
        <rFont val="Arial"/>
        <family val="2"/>
      </rPr>
      <t xml:space="preserve">
Thời hạn bảo hiểm</t>
    </r>
  </si>
  <si>
    <r>
      <t xml:space="preserve">No.
</t>
    </r>
    <r>
      <rPr>
        <i/>
        <sz val="10"/>
        <color indexed="8"/>
        <rFont val="Arial"/>
        <family val="2"/>
      </rPr>
      <t>STT</t>
    </r>
  </si>
  <si>
    <r>
      <rPr>
        <b/>
        <sz val="10"/>
        <color indexed="8"/>
        <rFont val="Arial"/>
        <family val="2"/>
      </rPr>
      <t>Full name of employee</t>
    </r>
    <r>
      <rPr>
        <i/>
        <sz val="10"/>
        <color indexed="8"/>
        <rFont val="Arial"/>
        <family val="2"/>
      </rPr>
      <t xml:space="preserve">
Họ và tên nhân viên</t>
    </r>
  </si>
  <si>
    <r>
      <rPr>
        <b/>
        <sz val="10"/>
        <color indexed="8"/>
        <rFont val="Arial"/>
        <family val="2"/>
      </rPr>
      <t>Full name of Insured person</t>
    </r>
    <r>
      <rPr>
        <i/>
        <sz val="10"/>
        <color indexed="8"/>
        <rFont val="Arial"/>
        <family val="2"/>
      </rPr>
      <t xml:space="preserve">
Họ và tên người được bảo hiểm</t>
    </r>
  </si>
  <si>
    <r>
      <rPr>
        <b/>
        <sz val="10"/>
        <color indexed="8"/>
        <rFont val="Arial"/>
        <family val="2"/>
      </rPr>
      <t>Date of Birth</t>
    </r>
    <r>
      <rPr>
        <i/>
        <sz val="10"/>
        <color indexed="8"/>
        <rFont val="Arial"/>
        <family val="2"/>
      </rPr>
      <t xml:space="preserve">
Ngày sinh</t>
    </r>
  </si>
  <si>
    <r>
      <rPr>
        <b/>
        <sz val="10"/>
        <color indexed="8"/>
        <rFont val="Arial"/>
        <family val="2"/>
      </rPr>
      <t>Age</t>
    </r>
    <r>
      <rPr>
        <i/>
        <sz val="10"/>
        <color indexed="8"/>
        <rFont val="Arial"/>
        <family val="2"/>
      </rPr>
      <t xml:space="preserve">
Tuổi</t>
    </r>
  </si>
  <si>
    <r>
      <rPr>
        <b/>
        <sz val="10"/>
        <color indexed="8"/>
        <rFont val="Arial"/>
        <family val="2"/>
      </rPr>
      <t>ID/ Passport No.</t>
    </r>
    <r>
      <rPr>
        <i/>
        <sz val="10"/>
        <color indexed="8"/>
        <rFont val="Arial"/>
        <family val="2"/>
      </rPr>
      <t xml:space="preserve">
Số CMND/ Passport</t>
    </r>
  </si>
  <si>
    <t>Hiệu lực</t>
  </si>
  <si>
    <t>Email</t>
  </si>
  <si>
    <t>EMAIL:</t>
  </si>
  <si>
    <t>P.23.S07.00000041 (AD0003/23I708048)</t>
  </si>
  <si>
    <t>HO THI THU HUONG</t>
  </si>
  <si>
    <t>HO THU LINH</t>
  </si>
  <si>
    <t>HO THI THU HIEN</t>
  </si>
  <si>
    <t>TRINH THU HONG</t>
  </si>
  <si>
    <t>NGUYEN VIET HUNG</t>
  </si>
  <si>
    <t>NGUYEN TRUONG NAM HAI</t>
  </si>
  <si>
    <t>DINH THI MY VAN</t>
  </si>
  <si>
    <t>NGUYEN VAN KHANH</t>
  </si>
  <si>
    <t>PHAM QUOC MINH</t>
  </si>
  <si>
    <t>NGUYEN THI BAO THU</t>
  </si>
  <si>
    <t>PHAM THI CAM TRANG</t>
  </si>
  <si>
    <t xml:space="preserve">Jose Vierne Pastor Maniling </t>
  </si>
  <si>
    <t>Gerald Camonggol Garcia</t>
  </si>
  <si>
    <t>CONG HUYEN TON NU THUY TRANG</t>
  </si>
  <si>
    <t>NGUYỄN LÂM HOÀNG</t>
  </si>
  <si>
    <t>14/11/2019</t>
  </si>
  <si>
    <t>31/3/1972</t>
  </si>
  <si>
    <t>26/7/1974</t>
  </si>
  <si>
    <t>23/7/1977</t>
  </si>
  <si>
    <t>18/5/2014</t>
  </si>
  <si>
    <t>16/11/1977</t>
  </si>
  <si>
    <t>29/7/1975</t>
  </si>
  <si>
    <t>27/03/1964</t>
  </si>
  <si>
    <t>CT BINNIES UK LTD – VPĐD TẠI HÀ NỘI</t>
  </si>
  <si>
    <t>1/2/2023 - 31/01/2024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</si>
</sst>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m/yyyy"/>
  </numFmts>
  <fonts count="26">
    <font>
      <sz val="11"/>
      <color theme="1"/>
      <name val="Calibri"/>
      <family val="2"/>
      <scheme val="minor"/>
    </font>
    <font>
      <sz val="9"/>
      <name val="Calibri"/>
      <family val="3"/>
      <charset val="136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b/>
      <i/>
      <sz val="10"/>
      <color theme="0"/>
      <name val="Arial"/>
      <family val="2"/>
    </font>
    <font>
      <b/>
      <sz val="10"/>
      <color theme="0"/>
      <name val="Arial"/>
      <family val="2"/>
    </font>
    <font>
      <i/>
      <sz val="10"/>
      <color theme="0"/>
      <name val="Arial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b/>
      <i/>
      <sz val="10"/>
      <color theme="1"/>
      <name val="Arial"/>
      <family val="2"/>
    </font>
    <font>
      <i/>
      <sz val="10"/>
      <color indexed="8"/>
      <name val="Arial"/>
      <family val="2"/>
    </font>
    <font>
      <i/>
      <sz val="10"/>
      <color theme="1"/>
      <name val="Arial"/>
      <family val="2"/>
    </font>
    <font>
      <b/>
      <sz val="10"/>
      <color indexed="8"/>
      <name val="Arial"/>
      <family val="2"/>
    </font>
    <font>
      <sz val="10"/>
      <color rgb="FF000000"/>
      <name val="Arial"/>
      <family val="2"/>
    </font>
    <font>
      <sz val="11"/>
      <color theme="1"/>
      <name val="Calibri"/>
      <family val="2"/>
      <charset val="163"/>
      <scheme val="minor"/>
    </font>
    <font>
      <b/>
      <sz val="9.5"/>
      <color rgb="FF343434"/>
      <name val="Arial"/>
      <family val="2"/>
    </font>
    <font>
      <sz val="9.5"/>
      <color rgb="FF343434"/>
      <name val="Arial"/>
      <family val="2"/>
    </font>
    <font>
      <sz val="9.5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0"/>
      <color theme="10"/>
      <name val="Arial"/>
      <family val="2"/>
    </font>
    <font>
      <sz val="11"/>
      <color indexed="8"/>
      <name val="Calibri"/>
      <family val="2"/>
    </font>
    <font>
      <sz val="12"/>
      <name val="Arial"/>
      <family val="2"/>
    </font>
    <font>
      <sz val="12"/>
      <name val="Cambria"/>
      <family val="1"/>
      <scheme val="maj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0" fontId="3" fillId="0" borderId="0"/>
    <xf numFmtId="0" fontId="2" fillId="0" borderId="0"/>
    <xf numFmtId="0" fontId="17" fillId="0" borderId="0"/>
    <xf numFmtId="0" fontId="17" fillId="0" borderId="0"/>
    <xf numFmtId="0" fontId="21" fillId="0" borderId="0" applyNumberFormat="0" applyFill="0" applyBorder="0" applyAlignment="0" applyProtection="0"/>
    <xf numFmtId="0" fontId="23" fillId="0" borderId="0"/>
  </cellStyleXfs>
  <cellXfs count="56">
    <xf numFmtId="0" fontId="0" fillId="0" borderId="0" xfId="0"/>
    <xf numFmtId="0" fontId="4" fillId="0" borderId="1" xfId="0" applyFont="1" applyBorder="1"/>
    <xf numFmtId="0" fontId="5" fillId="0" borderId="0" xfId="0" applyFont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/>
    </xf>
    <xf numFmtId="14" fontId="4" fillId="0" borderId="0" xfId="0" applyNumberFormat="1" applyFont="1" applyAlignment="1">
      <alignment horizontal="left"/>
    </xf>
    <xf numFmtId="0" fontId="6" fillId="0" borderId="0" xfId="0" applyFont="1"/>
    <xf numFmtId="0" fontId="4" fillId="0" borderId="1" xfId="0" applyFont="1" applyBorder="1" applyAlignment="1">
      <alignment horizontal="left"/>
    </xf>
    <xf numFmtId="0" fontId="10" fillId="0" borderId="0" xfId="0" applyFont="1" applyAlignment="1">
      <alignment horizontal="left" wrapText="1"/>
    </xf>
    <xf numFmtId="4" fontId="10" fillId="0" borderId="0" xfId="0" applyNumberFormat="1" applyFont="1" applyAlignment="1">
      <alignment horizontal="left" wrapText="1"/>
    </xf>
    <xf numFmtId="49" fontId="10" fillId="0" borderId="0" xfId="0" applyNumberFormat="1" applyFont="1" applyAlignment="1">
      <alignment horizontal="left" wrapText="1"/>
    </xf>
    <xf numFmtId="4" fontId="4" fillId="0" borderId="0" xfId="0" applyNumberFormat="1" applyFont="1" applyAlignment="1">
      <alignment horizontal="center"/>
    </xf>
    <xf numFmtId="14" fontId="4" fillId="0" borderId="1" xfId="0" applyNumberFormat="1" applyFont="1" applyBorder="1" applyAlignment="1">
      <alignment horizontal="left"/>
    </xf>
    <xf numFmtId="14" fontId="3" fillId="0" borderId="1" xfId="0" applyNumberFormat="1" applyFont="1" applyBorder="1" applyAlignment="1">
      <alignment horizontal="left"/>
    </xf>
    <xf numFmtId="0" fontId="16" fillId="0" borderId="1" xfId="0" applyFont="1" applyBorder="1" applyAlignment="1">
      <alignment horizontal="left"/>
    </xf>
    <xf numFmtId="0" fontId="9" fillId="0" borderId="0" xfId="0" applyFont="1" applyAlignment="1">
      <alignment horizontal="left" wrapText="1"/>
    </xf>
    <xf numFmtId="0" fontId="9" fillId="0" borderId="0" xfId="0" applyFont="1" applyAlignment="1">
      <alignment wrapText="1"/>
    </xf>
    <xf numFmtId="0" fontId="5" fillId="0" borderId="0" xfId="1" applyFont="1" applyAlignment="1">
      <alignment wrapText="1"/>
    </xf>
    <xf numFmtId="0" fontId="5" fillId="2" borderId="0" xfId="1" applyFont="1" applyFill="1" applyAlignment="1">
      <alignment horizontal="left"/>
    </xf>
    <xf numFmtId="0" fontId="4" fillId="2" borderId="0" xfId="0" applyFont="1" applyFill="1"/>
    <xf numFmtId="0" fontId="8" fillId="0" borderId="0" xfId="0" applyFont="1"/>
    <xf numFmtId="164" fontId="11" fillId="0" borderId="1" xfId="0" applyNumberFormat="1" applyFont="1" applyBorder="1" applyAlignment="1">
      <alignment horizontal="right"/>
    </xf>
    <xf numFmtId="14" fontId="5" fillId="2" borderId="0" xfId="1" applyNumberFormat="1" applyFont="1" applyFill="1" applyAlignment="1">
      <alignment horizontal="left"/>
    </xf>
    <xf numFmtId="0" fontId="12" fillId="0" borderId="1" xfId="0" applyFont="1" applyBorder="1" applyAlignment="1">
      <alignment horizontal="center" wrapText="1"/>
    </xf>
    <xf numFmtId="0" fontId="14" fillId="0" borderId="1" xfId="0" applyFont="1" applyBorder="1" applyAlignment="1">
      <alignment horizontal="center" wrapText="1"/>
    </xf>
    <xf numFmtId="4" fontId="14" fillId="0" borderId="1" xfId="0" applyNumberFormat="1" applyFont="1" applyBorder="1" applyAlignment="1">
      <alignment horizontal="center" wrapText="1"/>
    </xf>
    <xf numFmtId="49" fontId="14" fillId="0" borderId="1" xfId="0" applyNumberFormat="1" applyFont="1" applyBorder="1" applyAlignment="1">
      <alignment horizontal="center" wrapText="1"/>
    </xf>
    <xf numFmtId="49" fontId="12" fillId="0" borderId="1" xfId="0" applyNumberFormat="1" applyFont="1" applyBorder="1" applyAlignment="1">
      <alignment horizontal="center" wrapText="1"/>
    </xf>
    <xf numFmtId="0" fontId="4" fillId="0" borderId="1" xfId="0" applyFont="1" applyBorder="1" applyAlignment="1">
      <alignment horizontal="center"/>
    </xf>
    <xf numFmtId="49" fontId="4" fillId="3" borderId="1" xfId="0" applyNumberFormat="1" applyFont="1" applyFill="1" applyBorder="1" applyAlignment="1" applyProtection="1">
      <alignment horizontal="left"/>
      <protection locked="0"/>
    </xf>
    <xf numFmtId="14" fontId="4" fillId="0" borderId="1" xfId="0" applyNumberFormat="1" applyFont="1" applyBorder="1"/>
    <xf numFmtId="0" fontId="4" fillId="0" borderId="2" xfId="0" applyFont="1" applyBorder="1" applyAlignment="1">
      <alignment horizontal="center"/>
    </xf>
    <xf numFmtId="0" fontId="18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20" fillId="0" borderId="0" xfId="0" applyFont="1"/>
    <xf numFmtId="14" fontId="19" fillId="0" borderId="0" xfId="0" applyNumberFormat="1" applyFont="1" applyAlignment="1">
      <alignment horizontal="left"/>
    </xf>
    <xf numFmtId="49" fontId="19" fillId="0" borderId="0" xfId="0" quotePrefix="1" applyNumberFormat="1" applyFont="1" applyAlignment="1">
      <alignment horizontal="left"/>
    </xf>
    <xf numFmtId="0" fontId="18" fillId="0" borderId="0" xfId="0" applyFont="1" applyAlignment="1">
      <alignment horizontal="center"/>
    </xf>
    <xf numFmtId="0" fontId="18" fillId="0" borderId="0" xfId="0" applyFont="1"/>
    <xf numFmtId="0" fontId="19" fillId="0" borderId="0" xfId="0" applyFont="1"/>
    <xf numFmtId="49" fontId="12" fillId="0" borderId="0" xfId="0" applyNumberFormat="1" applyFont="1" applyAlignment="1">
      <alignment horizontal="center" wrapText="1"/>
    </xf>
    <xf numFmtId="14" fontId="2" fillId="0" borderId="0" xfId="5" applyNumberFormat="1" applyFont="1" applyBorder="1" applyAlignment="1">
      <alignment horizontal="left"/>
    </xf>
    <xf numFmtId="14" fontId="22" fillId="0" borderId="0" xfId="5" applyNumberFormat="1" applyFont="1" applyBorder="1" applyAlignment="1">
      <alignment horizontal="left"/>
    </xf>
    <xf numFmtId="14" fontId="22" fillId="0" borderId="0" xfId="5" applyNumberFormat="1" applyFont="1" applyBorder="1"/>
    <xf numFmtId="14" fontId="21" fillId="0" borderId="0" xfId="5" applyNumberFormat="1" applyBorder="1" applyAlignment="1">
      <alignment horizontal="left"/>
    </xf>
    <xf numFmtId="14" fontId="9" fillId="0" borderId="0" xfId="0" applyNumberFormat="1" applyFont="1" applyAlignment="1">
      <alignment horizontal="left" wrapText="1"/>
    </xf>
    <xf numFmtId="14" fontId="10" fillId="0" borderId="0" xfId="0" applyNumberFormat="1" applyFont="1" applyAlignment="1">
      <alignment horizontal="left" wrapText="1"/>
    </xf>
    <xf numFmtId="14" fontId="5" fillId="0" borderId="0" xfId="0" applyNumberFormat="1" applyFont="1" applyAlignment="1">
      <alignment horizontal="left"/>
    </xf>
    <xf numFmtId="14" fontId="14" fillId="0" borderId="1" xfId="0" applyNumberFormat="1" applyFont="1" applyBorder="1" applyAlignment="1">
      <alignment horizontal="center" wrapText="1"/>
    </xf>
    <xf numFmtId="0" fontId="7" fillId="0" borderId="0" xfId="0" applyFont="1" applyAlignment="1">
      <alignment horizontal="left" wrapText="1"/>
    </xf>
    <xf numFmtId="0" fontId="9" fillId="0" borderId="0" xfId="0" applyFont="1" applyAlignment="1">
      <alignment horizontal="left" wrapText="1"/>
    </xf>
    <xf numFmtId="0" fontId="10" fillId="0" borderId="0" xfId="1" applyFont="1" applyAlignment="1">
      <alignment horizontal="left" wrapText="1"/>
    </xf>
    <xf numFmtId="0" fontId="8" fillId="0" borderId="0" xfId="1" applyFont="1" applyAlignment="1">
      <alignment horizontal="left" wrapText="1"/>
    </xf>
    <xf numFmtId="0" fontId="24" fillId="3" borderId="1" xfId="1" applyFont="1" applyFill="1" applyBorder="1" applyAlignment="1">
      <alignment horizontal="left" vertical="center" wrapText="1"/>
    </xf>
    <xf numFmtId="14" fontId="25" fillId="3" borderId="1" xfId="1" quotePrefix="1" applyNumberFormat="1" applyFont="1" applyFill="1" applyBorder="1" applyAlignment="1">
      <alignment horizontal="center"/>
    </xf>
    <xf numFmtId="14" fontId="25" fillId="3" borderId="1" xfId="6" applyNumberFormat="1" applyFont="1" applyFill="1" applyBorder="1" applyAlignment="1">
      <alignment horizontal="center"/>
    </xf>
  </cellXfs>
  <cellStyles count="7">
    <cellStyle name="Hyperlink" xfId="5" builtinId="8"/>
    <cellStyle name="Normal" xfId="0" builtinId="0"/>
    <cellStyle name="Normal 2" xfId="1" xr:uid="{00000000-0005-0000-0000-000002000000}"/>
    <cellStyle name="Normal 5" xfId="4" xr:uid="{00000000-0005-0000-0000-000003000000}"/>
    <cellStyle name="Normal 54" xfId="2" xr:uid="{00000000-0005-0000-0000-000004000000}"/>
    <cellStyle name="Normal 7" xfId="3" xr:uid="{00000000-0005-0000-0000-000005000000}"/>
    <cellStyle name="Normal_Staff List 15.04.2012" xfId="6" xr:uid="{F9C95DB2-DED2-4B40-9A1C-C6937A69272B}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colors>
    <mruColors>
      <color rgb="FF343434"/>
      <color rgb="FF642F04"/>
      <color rgb="FF75380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/>
  <dimension ref="A1:N32"/>
  <sheetViews>
    <sheetView topLeftCell="A4" workbookViewId="0">
      <selection activeCell="I9" sqref="I9"/>
    </sheetView>
  </sheetViews>
  <sheetFormatPr defaultColWidth="9.15234375" defaultRowHeight="15" customHeight="1"/>
  <cols>
    <col min="1" max="1" width="6" style="3" bestFit="1" customWidth="1"/>
    <col min="2" max="2" width="23.69140625" style="3" hidden="1" customWidth="1"/>
    <col min="3" max="3" width="27.69140625" style="3" customWidth="1"/>
    <col min="4" max="4" width="14.3828125" style="5" bestFit="1" customWidth="1"/>
    <col min="5" max="5" width="13.15234375" style="3" hidden="1" customWidth="1"/>
    <col min="6" max="6" width="18.53515625" style="4" bestFit="1" customWidth="1"/>
    <col min="7" max="7" width="10.15234375" style="3" hidden="1" customWidth="1"/>
    <col min="8" max="8" width="32.3828125" style="3" bestFit="1" customWidth="1"/>
    <col min="9" max="9" width="17.69140625" style="4" customWidth="1"/>
    <col min="10" max="10" width="17.69140625" style="3" customWidth="1"/>
    <col min="11" max="16384" width="9.15234375" style="3"/>
  </cols>
  <sheetData>
    <row r="1" spans="1:14" ht="15" customHeight="1">
      <c r="A1" s="49" t="s">
        <v>18</v>
      </c>
      <c r="B1" s="49"/>
      <c r="C1" s="49"/>
      <c r="D1" s="49"/>
      <c r="E1" s="49"/>
      <c r="F1" s="49"/>
      <c r="I1" s="2" t="s">
        <v>0</v>
      </c>
    </row>
    <row r="2" spans="1:14" ht="15" customHeight="1">
      <c r="A2" s="50" t="s">
        <v>19</v>
      </c>
      <c r="B2" s="50"/>
      <c r="C2" s="50"/>
      <c r="D2" s="45"/>
      <c r="E2" s="16"/>
      <c r="F2" s="15"/>
      <c r="I2" s="6" t="s">
        <v>55</v>
      </c>
    </row>
    <row r="3" spans="1:14" ht="15" customHeight="1">
      <c r="A3" s="51" t="s">
        <v>20</v>
      </c>
      <c r="B3" s="51"/>
      <c r="C3" s="52" t="s">
        <v>16</v>
      </c>
      <c r="D3" s="52"/>
      <c r="E3" s="52"/>
      <c r="F3" s="52"/>
      <c r="I3" s="2" t="s">
        <v>1</v>
      </c>
      <c r="J3" s="17"/>
      <c r="K3" s="17"/>
      <c r="L3" s="17"/>
      <c r="M3" s="17"/>
      <c r="N3" s="17"/>
    </row>
    <row r="4" spans="1:14" ht="15" customHeight="1">
      <c r="A4" s="51" t="s">
        <v>21</v>
      </c>
      <c r="B4" s="51"/>
      <c r="C4" s="51" t="s">
        <v>17</v>
      </c>
      <c r="D4" s="51"/>
      <c r="E4" s="51"/>
      <c r="F4" s="51"/>
      <c r="G4" s="2"/>
      <c r="H4" s="2"/>
      <c r="I4" s="18" t="s">
        <v>31</v>
      </c>
      <c r="J4" s="19"/>
    </row>
    <row r="5" spans="1:14" ht="15" customHeight="1">
      <c r="A5" s="20"/>
      <c r="B5" s="20"/>
      <c r="C5" s="8"/>
      <c r="D5" s="46"/>
      <c r="E5" s="9"/>
      <c r="F5" s="10"/>
      <c r="I5" s="2" t="s">
        <v>2</v>
      </c>
    </row>
    <row r="6" spans="1:14" ht="15" customHeight="1">
      <c r="A6" s="2"/>
      <c r="B6" s="2"/>
      <c r="C6" s="2"/>
      <c r="D6" s="47"/>
      <c r="E6" s="21">
        <f ca="1">TODAY()</f>
        <v>44986</v>
      </c>
      <c r="F6" s="2"/>
      <c r="I6" s="22" t="s">
        <v>56</v>
      </c>
      <c r="J6" s="22"/>
    </row>
    <row r="7" spans="1:14" ht="25.75">
      <c r="A7" s="23" t="s">
        <v>22</v>
      </c>
      <c r="B7" s="24" t="s">
        <v>23</v>
      </c>
      <c r="C7" s="24" t="s">
        <v>24</v>
      </c>
      <c r="D7" s="48" t="s">
        <v>25</v>
      </c>
      <c r="E7" s="25" t="s">
        <v>26</v>
      </c>
      <c r="F7" s="26" t="s">
        <v>27</v>
      </c>
      <c r="G7" s="27" t="s">
        <v>28</v>
      </c>
      <c r="H7" s="40" t="s">
        <v>29</v>
      </c>
    </row>
    <row r="8" spans="1:14" ht="15" customHeight="1">
      <c r="A8" s="28">
        <f>ROW()-7</f>
        <v>1</v>
      </c>
      <c r="B8" s="1"/>
      <c r="C8" s="53" t="s">
        <v>32</v>
      </c>
      <c r="D8" s="54">
        <v>27673</v>
      </c>
      <c r="E8" s="29"/>
      <c r="F8" s="7"/>
      <c r="G8" s="12"/>
      <c r="H8" s="44"/>
      <c r="I8" s="2"/>
    </row>
    <row r="9" spans="1:14" ht="15" customHeight="1">
      <c r="A9" s="28">
        <f t="shared" ref="A9:A22" si="0">ROW()-7</f>
        <v>2</v>
      </c>
      <c r="B9" s="1"/>
      <c r="C9" s="53" t="s">
        <v>33</v>
      </c>
      <c r="D9" s="54" t="s">
        <v>47</v>
      </c>
      <c r="E9" s="14"/>
      <c r="F9" s="7"/>
      <c r="G9" s="12"/>
      <c r="H9" s="44"/>
      <c r="I9" s="2"/>
    </row>
    <row r="10" spans="1:14" ht="15" customHeight="1">
      <c r="A10" s="28">
        <f t="shared" si="0"/>
        <v>3</v>
      </c>
      <c r="B10" s="1"/>
      <c r="C10" s="53" t="s">
        <v>34</v>
      </c>
      <c r="D10" s="55" t="s">
        <v>48</v>
      </c>
      <c r="E10" s="11"/>
      <c r="F10" s="7"/>
      <c r="G10" s="12"/>
      <c r="H10" s="44"/>
      <c r="I10" s="2"/>
    </row>
    <row r="11" spans="1:14" ht="15" customHeight="1">
      <c r="A11" s="28">
        <f t="shared" si="0"/>
        <v>4</v>
      </c>
      <c r="B11" s="1"/>
      <c r="C11" s="53" t="s">
        <v>35</v>
      </c>
      <c r="D11" s="55" t="s">
        <v>49</v>
      </c>
      <c r="E11" s="11"/>
      <c r="F11" s="7"/>
      <c r="G11" s="12"/>
      <c r="H11" s="44"/>
      <c r="I11" s="2"/>
    </row>
    <row r="12" spans="1:14" ht="15" customHeight="1">
      <c r="A12" s="28">
        <f t="shared" si="0"/>
        <v>5</v>
      </c>
      <c r="B12" s="1"/>
      <c r="C12" s="53" t="s">
        <v>36</v>
      </c>
      <c r="D12" s="55">
        <v>27091</v>
      </c>
      <c r="E12" s="11"/>
      <c r="F12" s="7"/>
      <c r="G12" s="12"/>
      <c r="H12" s="44"/>
      <c r="I12" s="2"/>
    </row>
    <row r="13" spans="1:14" ht="15" customHeight="1">
      <c r="A13" s="28">
        <f t="shared" si="0"/>
        <v>6</v>
      </c>
      <c r="B13" s="1"/>
      <c r="C13" s="53" t="s">
        <v>37</v>
      </c>
      <c r="D13" s="55">
        <v>27548</v>
      </c>
      <c r="E13" s="11"/>
      <c r="F13" s="7"/>
      <c r="G13" s="12"/>
      <c r="H13" s="44"/>
      <c r="I13" s="2"/>
    </row>
    <row r="14" spans="1:14" ht="15" customHeight="1">
      <c r="A14" s="28">
        <f t="shared" si="0"/>
        <v>7</v>
      </c>
      <c r="B14" s="1"/>
      <c r="C14" s="53" t="s">
        <v>38</v>
      </c>
      <c r="D14" s="55" t="s">
        <v>50</v>
      </c>
      <c r="E14" s="11"/>
      <c r="F14" s="7"/>
      <c r="G14" s="12"/>
      <c r="H14" s="44"/>
      <c r="I14" s="2"/>
    </row>
    <row r="15" spans="1:14" ht="15" customHeight="1">
      <c r="A15" s="28">
        <f t="shared" si="0"/>
        <v>8</v>
      </c>
      <c r="B15" s="1"/>
      <c r="C15" s="53" t="s">
        <v>39</v>
      </c>
      <c r="D15" s="55" t="s">
        <v>51</v>
      </c>
      <c r="E15" s="11"/>
      <c r="F15" s="7"/>
      <c r="G15" s="12"/>
      <c r="H15" s="44"/>
      <c r="I15" s="2"/>
    </row>
    <row r="16" spans="1:14" ht="15" customHeight="1">
      <c r="A16" s="28">
        <f t="shared" si="0"/>
        <v>9</v>
      </c>
      <c r="B16" s="1"/>
      <c r="C16" s="53" t="s">
        <v>40</v>
      </c>
      <c r="D16" s="55" t="s">
        <v>52</v>
      </c>
      <c r="F16" s="7"/>
      <c r="G16" s="30"/>
      <c r="H16" s="42"/>
      <c r="I16" s="2"/>
    </row>
    <row r="17" spans="1:9" ht="15" customHeight="1">
      <c r="A17" s="28">
        <f t="shared" si="0"/>
        <v>10</v>
      </c>
      <c r="B17" s="1"/>
      <c r="C17" s="53" t="s">
        <v>41</v>
      </c>
      <c r="D17" s="55" t="s">
        <v>53</v>
      </c>
      <c r="F17" s="7"/>
      <c r="G17" s="30"/>
      <c r="H17" s="42"/>
      <c r="I17" s="2"/>
    </row>
    <row r="18" spans="1:9" ht="15" customHeight="1">
      <c r="A18" s="28">
        <f t="shared" si="0"/>
        <v>11</v>
      </c>
      <c r="B18" s="1"/>
      <c r="C18" s="53" t="s">
        <v>42</v>
      </c>
      <c r="D18" s="55">
        <v>29864</v>
      </c>
      <c r="F18" s="7"/>
      <c r="G18" s="30"/>
      <c r="H18" s="42"/>
      <c r="I18" s="2"/>
    </row>
    <row r="19" spans="1:9" ht="15" customHeight="1">
      <c r="A19" s="28">
        <f t="shared" si="0"/>
        <v>12</v>
      </c>
      <c r="B19" s="1"/>
      <c r="C19" s="53" t="s">
        <v>43</v>
      </c>
      <c r="D19" s="55" t="s">
        <v>54</v>
      </c>
      <c r="F19" s="7"/>
      <c r="G19" s="30"/>
      <c r="H19" s="42"/>
      <c r="I19" s="2"/>
    </row>
    <row r="20" spans="1:9" ht="15" customHeight="1">
      <c r="A20" s="28">
        <f t="shared" si="0"/>
        <v>13</v>
      </c>
      <c r="B20" s="1"/>
      <c r="C20" s="53" t="s">
        <v>44</v>
      </c>
      <c r="D20" s="55">
        <v>28128</v>
      </c>
      <c r="F20" s="7"/>
      <c r="G20" s="30"/>
      <c r="H20" s="42"/>
      <c r="I20" s="2"/>
    </row>
    <row r="21" spans="1:9" ht="15" customHeight="1">
      <c r="A21" s="28">
        <f t="shared" si="0"/>
        <v>14</v>
      </c>
      <c r="B21" s="1"/>
      <c r="C21" s="53" t="s">
        <v>45</v>
      </c>
      <c r="D21" s="55">
        <v>29229</v>
      </c>
      <c r="F21" s="7"/>
      <c r="G21" s="30"/>
      <c r="H21" s="43"/>
      <c r="I21" s="2"/>
    </row>
    <row r="22" spans="1:9" ht="15" customHeight="1">
      <c r="A22" s="28">
        <f t="shared" si="0"/>
        <v>15</v>
      </c>
      <c r="B22" s="1"/>
      <c r="C22" s="53" t="s">
        <v>46</v>
      </c>
      <c r="D22" s="54">
        <v>38434</v>
      </c>
      <c r="F22" s="7"/>
      <c r="G22" s="30"/>
      <c r="H22" s="43"/>
      <c r="I22" s="2"/>
    </row>
    <row r="23" spans="1:9" ht="15" customHeight="1">
      <c r="A23" s="28"/>
      <c r="B23" s="1"/>
      <c r="C23" s="1"/>
      <c r="D23" s="13"/>
      <c r="E23" s="1"/>
      <c r="F23" s="7"/>
      <c r="G23" s="1"/>
    </row>
    <row r="24" spans="1:9" ht="15" customHeight="1">
      <c r="A24" s="31"/>
      <c r="B24" s="1"/>
      <c r="C24" s="1"/>
      <c r="D24" s="13"/>
      <c r="E24" s="1"/>
      <c r="F24" s="7"/>
      <c r="G24" s="1"/>
    </row>
    <row r="25" spans="1:9" ht="15" customHeight="1">
      <c r="A25" s="28"/>
      <c r="B25" s="1"/>
      <c r="C25" s="1"/>
      <c r="D25" s="13"/>
      <c r="E25" s="1"/>
      <c r="F25" s="7"/>
      <c r="G25" s="1"/>
    </row>
    <row r="26" spans="1:9" ht="15" customHeight="1">
      <c r="A26" s="31"/>
      <c r="B26" s="1"/>
      <c r="C26" s="1"/>
      <c r="D26" s="13"/>
      <c r="E26" s="1"/>
      <c r="F26" s="7"/>
      <c r="G26" s="1"/>
    </row>
    <row r="27" spans="1:9" ht="15" customHeight="1">
      <c r="A27" s="28"/>
      <c r="B27" s="1"/>
      <c r="C27" s="1"/>
      <c r="D27" s="13"/>
      <c r="E27" s="1"/>
      <c r="F27" s="7"/>
      <c r="G27" s="1"/>
    </row>
    <row r="28" spans="1:9" ht="15" customHeight="1">
      <c r="A28" s="31"/>
      <c r="B28" s="1"/>
      <c r="C28" s="1"/>
      <c r="D28" s="13"/>
      <c r="E28" s="1"/>
      <c r="F28" s="7"/>
      <c r="G28" s="1"/>
    </row>
    <row r="29" spans="1:9" ht="15" customHeight="1">
      <c r="A29" s="28"/>
      <c r="B29" s="1"/>
      <c r="C29" s="1"/>
      <c r="D29" s="13"/>
      <c r="E29" s="1"/>
      <c r="F29" s="7"/>
      <c r="G29" s="1"/>
    </row>
    <row r="30" spans="1:9" ht="15" customHeight="1">
      <c r="A30" s="31"/>
      <c r="B30" s="1"/>
      <c r="C30" s="1"/>
      <c r="D30" s="13"/>
      <c r="E30" s="1"/>
      <c r="F30" s="7"/>
      <c r="G30" s="1"/>
    </row>
    <row r="31" spans="1:9" ht="15" customHeight="1">
      <c r="A31" s="28"/>
      <c r="B31" s="1"/>
      <c r="C31" s="1"/>
      <c r="D31" s="13"/>
      <c r="E31" s="1"/>
      <c r="F31" s="7"/>
      <c r="G31" s="1"/>
    </row>
    <row r="32" spans="1:9" ht="15" customHeight="1">
      <c r="A32" s="28"/>
      <c r="B32" s="1"/>
      <c r="C32" s="1"/>
      <c r="D32" s="13"/>
      <c r="E32" s="1"/>
      <c r="F32" s="7"/>
      <c r="G32" s="1"/>
    </row>
  </sheetData>
  <mergeCells count="6">
    <mergeCell ref="A1:F1"/>
    <mergeCell ref="A2:C2"/>
    <mergeCell ref="A3:B3"/>
    <mergeCell ref="C3:F3"/>
    <mergeCell ref="A4:B4"/>
    <mergeCell ref="C4:F4"/>
  </mergeCells>
  <phoneticPr fontId="1" type="noConversion"/>
  <conditionalFormatting sqref="C8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"/>
  <dimension ref="A1:H16"/>
  <sheetViews>
    <sheetView topLeftCell="A4" zoomScaleNormal="100" workbookViewId="0">
      <selection activeCell="B18" sqref="B18"/>
    </sheetView>
  </sheetViews>
  <sheetFormatPr defaultColWidth="8.84375" defaultRowHeight="12.45"/>
  <cols>
    <col min="1" max="1" width="4.84375" style="3" bestFit="1" customWidth="1"/>
    <col min="2" max="2" width="39.53515625" style="3" customWidth="1"/>
    <col min="3" max="3" width="23.3046875" style="3" customWidth="1"/>
    <col min="4" max="4" width="24.15234375" style="3" customWidth="1"/>
    <col min="5" max="5" width="24.69140625" style="3" bestFit="1" customWidth="1"/>
    <col min="6" max="6" width="16" style="3" customWidth="1"/>
    <col min="7" max="7" width="18.3046875" style="3" customWidth="1"/>
    <col min="8" max="8" width="32.53515625" style="3" customWidth="1"/>
    <col min="9" max="9" width="15.69140625" style="3" bestFit="1" customWidth="1"/>
    <col min="10" max="10" width="35.15234375" style="3" bestFit="1" customWidth="1"/>
    <col min="11" max="12" width="8.84375" style="3"/>
    <col min="13" max="13" width="11.69140625" style="3" bestFit="1" customWidth="1"/>
    <col min="14" max="16384" width="8.84375" style="3"/>
  </cols>
  <sheetData>
    <row r="1" spans="1:8">
      <c r="A1" s="2" t="s">
        <v>3</v>
      </c>
      <c r="B1" s="2" t="s">
        <v>4</v>
      </c>
      <c r="C1" s="2" t="s">
        <v>5</v>
      </c>
      <c r="D1" s="2" t="s">
        <v>6</v>
      </c>
      <c r="E1" s="2" t="s">
        <v>7</v>
      </c>
      <c r="F1" s="2" t="s">
        <v>8</v>
      </c>
      <c r="G1" s="2" t="s">
        <v>9</v>
      </c>
      <c r="H1" s="2" t="s">
        <v>30</v>
      </c>
    </row>
    <row r="2" spans="1:8">
      <c r="A2" s="2">
        <v>1</v>
      </c>
      <c r="B2" s="4" t="str">
        <f>Original!$I$2</f>
        <v>CT BINNIES UK LTD – VPĐD TẠI HÀ NỘI</v>
      </c>
      <c r="C2" s="4" t="str">
        <f>Original!$I$4</f>
        <v>P.23.S07.00000041 (AD0003/23I708048)</v>
      </c>
      <c r="D2" s="4" t="str">
        <f>TEXT(Original!$I$6,"dd/mm/yyyy")</f>
        <v>1/2/2023 - 31/01/2024</v>
      </c>
      <c r="E2" s="2" t="str">
        <f>VLOOKUP($A2,Original!$A:$F,3,0)</f>
        <v>HO THI THU HUONG</v>
      </c>
      <c r="F2" s="5">
        <f>VLOOKUP($A2,Original!$A:$F,4,0)</f>
        <v>27673</v>
      </c>
      <c r="G2" s="4"/>
      <c r="H2" s="4"/>
    </row>
    <row r="3" spans="1:8">
      <c r="A3" s="2">
        <f>IF(B3&lt;&gt;"",A2+1,"")</f>
        <v>2</v>
      </c>
      <c r="B3" s="4" t="str">
        <f>Original!$I$2</f>
        <v>CT BINNIES UK LTD – VPĐD TẠI HÀ NỘI</v>
      </c>
      <c r="C3" s="4" t="str">
        <f>Original!$I$4</f>
        <v>P.23.S07.00000041 (AD0003/23I708048)</v>
      </c>
      <c r="D3" s="4" t="str">
        <f>TEXT(Original!$I$6,"dd/mm/yyyy")</f>
        <v>1/2/2023 - 31/01/2024</v>
      </c>
      <c r="E3" s="2" t="str">
        <f>VLOOKUP($A3,Original!$A:$F,3,0)</f>
        <v>HO THU LINH</v>
      </c>
      <c r="F3" s="5" t="str">
        <f>VLOOKUP($A3,Original!$A:$F,4,0)</f>
        <v>14/11/2019</v>
      </c>
      <c r="G3" s="4"/>
      <c r="H3" s="4"/>
    </row>
    <row r="4" spans="1:8">
      <c r="A4" s="2">
        <f t="shared" ref="A4:A16" si="0">IF(B4&lt;&gt;"",A3+1,"")</f>
        <v>3</v>
      </c>
      <c r="B4" s="4" t="str">
        <f>Original!$I$2</f>
        <v>CT BINNIES UK LTD – VPĐD TẠI HÀ NỘI</v>
      </c>
      <c r="C4" s="4" t="str">
        <f>Original!$I$4</f>
        <v>P.23.S07.00000041 (AD0003/23I708048)</v>
      </c>
      <c r="D4" s="4" t="str">
        <f>TEXT(Original!$I$6,"dd/mm/yyyy")</f>
        <v>1/2/2023 - 31/01/2024</v>
      </c>
      <c r="E4" s="2" t="str">
        <f>VLOOKUP($A4,Original!$A:$F,3,0)</f>
        <v>HO THI THU HIEN</v>
      </c>
      <c r="F4" s="5" t="str">
        <f>VLOOKUP($A4,Original!$A:$F,4,0)</f>
        <v>31/3/1972</v>
      </c>
      <c r="G4" s="4"/>
      <c r="H4" s="4"/>
    </row>
    <row r="5" spans="1:8">
      <c r="A5" s="2">
        <f t="shared" si="0"/>
        <v>4</v>
      </c>
      <c r="B5" s="4" t="str">
        <f>Original!$I$2</f>
        <v>CT BINNIES UK LTD – VPĐD TẠI HÀ NỘI</v>
      </c>
      <c r="C5" s="4" t="str">
        <f>Original!$I$4</f>
        <v>P.23.S07.00000041 (AD0003/23I708048)</v>
      </c>
      <c r="D5" s="4" t="str">
        <f>TEXT(Original!$I$6,"dd/mm/yyyy")</f>
        <v>1/2/2023 - 31/01/2024</v>
      </c>
      <c r="E5" s="2" t="str">
        <f>VLOOKUP($A5,Original!$A:$F,3,0)</f>
        <v>TRINH THU HONG</v>
      </c>
      <c r="F5" s="5" t="str">
        <f>VLOOKUP($A5,Original!$A:$F,4,0)</f>
        <v>26/7/1974</v>
      </c>
      <c r="G5" s="4"/>
      <c r="H5" s="4"/>
    </row>
    <row r="6" spans="1:8">
      <c r="A6" s="2">
        <f t="shared" si="0"/>
        <v>5</v>
      </c>
      <c r="B6" s="4" t="str">
        <f>Original!$I$2</f>
        <v>CT BINNIES UK LTD – VPĐD TẠI HÀ NỘI</v>
      </c>
      <c r="C6" s="4" t="str">
        <f>Original!$I$4</f>
        <v>P.23.S07.00000041 (AD0003/23I708048)</v>
      </c>
      <c r="D6" s="4" t="str">
        <f>TEXT(Original!$I$6,"dd/mm/yyyy")</f>
        <v>1/2/2023 - 31/01/2024</v>
      </c>
      <c r="E6" s="2" t="str">
        <f>VLOOKUP($A6,Original!$A:$F,3,0)</f>
        <v>NGUYEN VIET HUNG</v>
      </c>
      <c r="F6" s="5">
        <f>VLOOKUP($A6,Original!$A:$F,4,0)</f>
        <v>27091</v>
      </c>
      <c r="G6" s="4"/>
      <c r="H6" s="4"/>
    </row>
    <row r="7" spans="1:8">
      <c r="A7" s="2">
        <f t="shared" si="0"/>
        <v>6</v>
      </c>
      <c r="B7" s="4" t="str">
        <f>Original!$I$2</f>
        <v>CT BINNIES UK LTD – VPĐD TẠI HÀ NỘI</v>
      </c>
      <c r="C7" s="4" t="str">
        <f>Original!$I$4</f>
        <v>P.23.S07.00000041 (AD0003/23I708048)</v>
      </c>
      <c r="D7" s="4" t="str">
        <f>TEXT(Original!$I$6,"dd/mm/yyyy")</f>
        <v>1/2/2023 - 31/01/2024</v>
      </c>
      <c r="E7" s="2" t="str">
        <f>VLOOKUP($A7,Original!$A:$F,3,0)</f>
        <v>NGUYEN TRUONG NAM HAI</v>
      </c>
      <c r="F7" s="5">
        <f>VLOOKUP($A7,Original!$A:$F,4,0)</f>
        <v>27548</v>
      </c>
      <c r="G7" s="4"/>
      <c r="H7" s="4"/>
    </row>
    <row r="8" spans="1:8">
      <c r="A8" s="2">
        <f t="shared" si="0"/>
        <v>7</v>
      </c>
      <c r="B8" s="4" t="str">
        <f>Original!$I$2</f>
        <v>CT BINNIES UK LTD – VPĐD TẠI HÀ NỘI</v>
      </c>
      <c r="C8" s="4" t="str">
        <f>Original!$I$4</f>
        <v>P.23.S07.00000041 (AD0003/23I708048)</v>
      </c>
      <c r="D8" s="4" t="str">
        <f>TEXT(Original!$I$6,"dd/mm/yyyy")</f>
        <v>1/2/2023 - 31/01/2024</v>
      </c>
      <c r="E8" s="2" t="str">
        <f>VLOOKUP($A8,Original!$A:$F,3,0)</f>
        <v>DINH THI MY VAN</v>
      </c>
      <c r="F8" s="5" t="str">
        <f>VLOOKUP($A8,Original!$A:$F,4,0)</f>
        <v>23/7/1977</v>
      </c>
      <c r="G8" s="4"/>
      <c r="H8" s="4"/>
    </row>
    <row r="9" spans="1:8">
      <c r="A9" s="2">
        <f t="shared" si="0"/>
        <v>8</v>
      </c>
      <c r="B9" s="4" t="str">
        <f>Original!$I$2</f>
        <v>CT BINNIES UK LTD – VPĐD TẠI HÀ NỘI</v>
      </c>
      <c r="C9" s="4" t="str">
        <f>Original!$I$4</f>
        <v>P.23.S07.00000041 (AD0003/23I708048)</v>
      </c>
      <c r="D9" s="4" t="str">
        <f>TEXT(Original!$I$6,"dd/mm/yyyy")</f>
        <v>1/2/2023 - 31/01/2024</v>
      </c>
      <c r="E9" s="2" t="str">
        <f>VLOOKUP($A9,Original!$A:$F,3,0)</f>
        <v>NGUYEN VAN KHANH</v>
      </c>
      <c r="F9" s="5" t="str">
        <f>VLOOKUP($A9,Original!$A:$F,4,0)</f>
        <v>18/5/2014</v>
      </c>
      <c r="G9" s="4"/>
      <c r="H9" s="4"/>
    </row>
    <row r="10" spans="1:8">
      <c r="A10" s="2">
        <f t="shared" si="0"/>
        <v>9</v>
      </c>
      <c r="B10" s="4" t="str">
        <f>Original!$I$2</f>
        <v>CT BINNIES UK LTD – VPĐD TẠI HÀ NỘI</v>
      </c>
      <c r="C10" s="4" t="str">
        <f>Original!$I$4</f>
        <v>P.23.S07.00000041 (AD0003/23I708048)</v>
      </c>
      <c r="D10" s="4" t="str">
        <f>TEXT(Original!$I$6,"dd/mm/yyyy")</f>
        <v>1/2/2023 - 31/01/2024</v>
      </c>
      <c r="E10" s="2" t="str">
        <f>VLOOKUP($A10,Original!$A:$F,3,0)</f>
        <v>PHAM QUOC MINH</v>
      </c>
      <c r="F10" s="5" t="str">
        <f>VLOOKUP($A10,Original!$A:$F,4,0)</f>
        <v>16/11/1977</v>
      </c>
      <c r="G10" s="4"/>
      <c r="H10" s="4"/>
    </row>
    <row r="11" spans="1:8">
      <c r="A11" s="2">
        <f t="shared" si="0"/>
        <v>10</v>
      </c>
      <c r="B11" s="4" t="str">
        <f>Original!$I$2</f>
        <v>CT BINNIES UK LTD – VPĐD TẠI HÀ NỘI</v>
      </c>
      <c r="C11" s="4" t="str">
        <f>Original!$I$4</f>
        <v>P.23.S07.00000041 (AD0003/23I708048)</v>
      </c>
      <c r="D11" s="4" t="str">
        <f>TEXT(Original!$I$6,"dd/mm/yyyy")</f>
        <v>1/2/2023 - 31/01/2024</v>
      </c>
      <c r="E11" s="2" t="str">
        <f>VLOOKUP($A11,Original!$A:$F,3,0)</f>
        <v>NGUYEN THI BAO THU</v>
      </c>
      <c r="F11" s="5" t="str">
        <f>VLOOKUP($A11,Original!$A:$F,4,0)</f>
        <v>29/7/1975</v>
      </c>
      <c r="G11" s="4"/>
      <c r="H11" s="4"/>
    </row>
    <row r="12" spans="1:8">
      <c r="A12" s="2">
        <f t="shared" si="0"/>
        <v>11</v>
      </c>
      <c r="B12" s="4" t="str">
        <f>Original!$I$2</f>
        <v>CT BINNIES UK LTD – VPĐD TẠI HÀ NỘI</v>
      </c>
      <c r="C12" s="4" t="str">
        <f>Original!$I$4</f>
        <v>P.23.S07.00000041 (AD0003/23I708048)</v>
      </c>
      <c r="D12" s="4" t="str">
        <f>TEXT(Original!$I$6,"dd/mm/yyyy")</f>
        <v>1/2/2023 - 31/01/2024</v>
      </c>
      <c r="E12" s="2" t="str">
        <f>VLOOKUP($A12,Original!$A:$F,3,0)</f>
        <v>PHAM THI CAM TRANG</v>
      </c>
      <c r="F12" s="5">
        <f>VLOOKUP($A12,Original!$A:$F,4,0)</f>
        <v>29864</v>
      </c>
      <c r="G12" s="4"/>
      <c r="H12" s="4"/>
    </row>
    <row r="13" spans="1:8">
      <c r="A13" s="2">
        <f t="shared" si="0"/>
        <v>12</v>
      </c>
      <c r="B13" s="4" t="str">
        <f>Original!$I$2</f>
        <v>CT BINNIES UK LTD – VPĐD TẠI HÀ NỘI</v>
      </c>
      <c r="C13" s="4" t="str">
        <f>Original!$I$4</f>
        <v>P.23.S07.00000041 (AD0003/23I708048)</v>
      </c>
      <c r="D13" s="4" t="str">
        <f>TEXT(Original!$I$6,"dd/mm/yyyy")</f>
        <v>1/2/2023 - 31/01/2024</v>
      </c>
      <c r="E13" s="2" t="str">
        <f>VLOOKUP($A13,Original!$A:$F,3,0)</f>
        <v xml:space="preserve">Jose Vierne Pastor Maniling </v>
      </c>
      <c r="F13" s="5" t="str">
        <f>VLOOKUP($A13,Original!$A:$F,4,0)</f>
        <v>27/03/1964</v>
      </c>
      <c r="G13" s="4"/>
      <c r="H13" s="4"/>
    </row>
    <row r="14" spans="1:8">
      <c r="A14" s="2">
        <f t="shared" si="0"/>
        <v>13</v>
      </c>
      <c r="B14" s="4" t="str">
        <f>Original!$I$2</f>
        <v>CT BINNIES UK LTD – VPĐD TẠI HÀ NỘI</v>
      </c>
      <c r="C14" s="4" t="str">
        <f>Original!$I$4</f>
        <v>P.23.S07.00000041 (AD0003/23I708048)</v>
      </c>
      <c r="D14" s="4" t="str">
        <f>TEXT(Original!$I$6,"dd/mm/yyyy")</f>
        <v>1/2/2023 - 31/01/2024</v>
      </c>
      <c r="E14" s="2" t="str">
        <f>VLOOKUP($A14,Original!$A:$F,3,0)</f>
        <v>Gerald Camonggol Garcia</v>
      </c>
      <c r="F14" s="5">
        <f>VLOOKUP($A14,Original!$A:$F,4,0)</f>
        <v>28128</v>
      </c>
      <c r="G14" s="4"/>
      <c r="H14" s="4"/>
    </row>
    <row r="15" spans="1:8">
      <c r="A15" s="2">
        <f t="shared" si="0"/>
        <v>14</v>
      </c>
      <c r="B15" s="4" t="str">
        <f>Original!$I$2</f>
        <v>CT BINNIES UK LTD – VPĐD TẠI HÀ NỘI</v>
      </c>
      <c r="C15" s="4" t="str">
        <f>Original!$I$4</f>
        <v>P.23.S07.00000041 (AD0003/23I708048)</v>
      </c>
      <c r="D15" s="4" t="str">
        <f>TEXT(Original!$I$6,"dd/mm/yyyy")</f>
        <v>1/2/2023 - 31/01/2024</v>
      </c>
      <c r="E15" s="2" t="str">
        <f>VLOOKUP($A15,Original!$A:$F,3,0)</f>
        <v>CONG HUYEN TON NU THUY TRANG</v>
      </c>
      <c r="F15" s="5">
        <f>VLOOKUP($A15,Original!$A:$F,4,0)</f>
        <v>29229</v>
      </c>
      <c r="G15" s="4"/>
      <c r="H15" s="4"/>
    </row>
    <row r="16" spans="1:8">
      <c r="A16" s="2">
        <f t="shared" si="0"/>
        <v>15</v>
      </c>
      <c r="B16" s="4" t="str">
        <f>Original!$I$2</f>
        <v>CT BINNIES UK LTD – VPĐD TẠI HÀ NỘI</v>
      </c>
      <c r="C16" s="4" t="str">
        <f>Original!$I$4</f>
        <v>P.23.S07.00000041 (AD0003/23I708048)</v>
      </c>
      <c r="D16" s="4" t="str">
        <f>TEXT(Original!$I$6,"dd/mm/yyyy")</f>
        <v>1/2/2023 - 31/01/2024</v>
      </c>
      <c r="E16" s="2" t="str">
        <f>VLOOKUP($A16,Original!$A:$F,3,0)</f>
        <v>NGUYỄN LÂM HOÀNG</v>
      </c>
      <c r="F16" s="5">
        <f>VLOOKUP($A16,Original!$A:$F,4,0)</f>
        <v>38434</v>
      </c>
      <c r="G16" s="4"/>
      <c r="H16" s="4"/>
    </row>
  </sheetData>
  <phoneticPr fontId="1" type="noConversion"/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2"/>
  <dimension ref="A1:B119"/>
  <sheetViews>
    <sheetView showGridLines="0" tabSelected="1" topLeftCell="A115" zoomScaleNormal="100" workbookViewId="0">
      <selection activeCell="D122" sqref="D122"/>
    </sheetView>
  </sheetViews>
  <sheetFormatPr defaultColWidth="9.15234375" defaultRowHeight="12"/>
  <cols>
    <col min="1" max="1" width="15.69140625" style="38" customWidth="1"/>
    <col min="2" max="2" width="37" style="39" bestFit="1" customWidth="1"/>
    <col min="3" max="11" width="9.15234375" style="34"/>
    <col min="12" max="12" width="5.84375" style="34" customWidth="1"/>
    <col min="13" max="16384" width="9.15234375" style="34"/>
  </cols>
  <sheetData>
    <row r="1" spans="1:2">
      <c r="A1" s="32" t="s">
        <v>10</v>
      </c>
      <c r="B1" s="33" t="s">
        <v>55</v>
      </c>
    </row>
    <row r="2" spans="1:2">
      <c r="A2" s="32" t="s">
        <v>11</v>
      </c>
      <c r="B2" s="33" t="s">
        <v>31</v>
      </c>
    </row>
    <row r="3" spans="1:2">
      <c r="A3" s="32" t="s">
        <v>12</v>
      </c>
      <c r="B3" s="35" t="s">
        <v>56</v>
      </c>
    </row>
    <row r="4" spans="1:2">
      <c r="A4" s="32" t="s">
        <v>13</v>
      </c>
      <c r="B4" s="32" t="s">
        <v>32</v>
      </c>
    </row>
    <row r="5" spans="1:2">
      <c r="A5" s="32" t="s">
        <v>14</v>
      </c>
      <c r="B5" s="35">
        <v>27673</v>
      </c>
    </row>
    <row r="6" spans="1:2">
      <c r="A6" s="32" t="s">
        <v>15</v>
      </c>
      <c r="B6" s="36"/>
    </row>
    <row r="7" spans="1:2" ht="14.6">
      <c r="A7" s="32" t="s">
        <v>30</v>
      </c>
      <c r="B7" s="41"/>
    </row>
    <row r="8" spans="1:2">
      <c r="A8" s="32"/>
      <c r="B8" s="37"/>
    </row>
    <row r="9" spans="1:2">
      <c r="A9" s="32" t="s">
        <v>10</v>
      </c>
      <c r="B9" s="33" t="s">
        <v>55</v>
      </c>
    </row>
    <row r="10" spans="1:2">
      <c r="A10" s="32" t="s">
        <v>11</v>
      </c>
      <c r="B10" s="33" t="s">
        <v>31</v>
      </c>
    </row>
    <row r="11" spans="1:2">
      <c r="A11" s="32" t="s">
        <v>12</v>
      </c>
      <c r="B11" s="35" t="s">
        <v>56</v>
      </c>
    </row>
    <row r="12" spans="1:2">
      <c r="A12" s="32" t="s">
        <v>13</v>
      </c>
      <c r="B12" s="32" t="s">
        <v>33</v>
      </c>
    </row>
    <row r="13" spans="1:2">
      <c r="A13" s="32" t="s">
        <v>14</v>
      </c>
      <c r="B13" s="35" t="s">
        <v>47</v>
      </c>
    </row>
    <row r="14" spans="1:2">
      <c r="A14" s="32" t="s">
        <v>15</v>
      </c>
      <c r="B14" s="36"/>
    </row>
    <row r="15" spans="1:2" ht="14.6">
      <c r="A15" s="32" t="s">
        <v>30</v>
      </c>
      <c r="B15" s="41"/>
    </row>
    <row r="16" spans="1:2">
      <c r="A16" s="32"/>
      <c r="B16" s="37"/>
    </row>
    <row r="17" spans="1:2">
      <c r="A17" s="32" t="s">
        <v>10</v>
      </c>
      <c r="B17" s="33" t="s">
        <v>55</v>
      </c>
    </row>
    <row r="18" spans="1:2">
      <c r="A18" s="32" t="s">
        <v>11</v>
      </c>
      <c r="B18" s="33" t="s">
        <v>31</v>
      </c>
    </row>
    <row r="19" spans="1:2">
      <c r="A19" s="32" t="s">
        <v>12</v>
      </c>
      <c r="B19" s="35" t="s">
        <v>56</v>
      </c>
    </row>
    <row r="20" spans="1:2">
      <c r="A20" s="32" t="s">
        <v>13</v>
      </c>
      <c r="B20" s="32" t="s">
        <v>34</v>
      </c>
    </row>
    <row r="21" spans="1:2">
      <c r="A21" s="32" t="s">
        <v>14</v>
      </c>
      <c r="B21" s="35" t="s">
        <v>48</v>
      </c>
    </row>
    <row r="22" spans="1:2">
      <c r="A22" s="32" t="s">
        <v>15</v>
      </c>
      <c r="B22" s="36"/>
    </row>
    <row r="23" spans="1:2" ht="14.6">
      <c r="A23" s="32" t="s">
        <v>30</v>
      </c>
      <c r="B23" s="41"/>
    </row>
    <row r="24" spans="1:2">
      <c r="A24" s="32"/>
      <c r="B24" s="37"/>
    </row>
    <row r="25" spans="1:2">
      <c r="A25" s="32" t="s">
        <v>10</v>
      </c>
      <c r="B25" s="33" t="s">
        <v>55</v>
      </c>
    </row>
    <row r="26" spans="1:2">
      <c r="A26" s="32" t="s">
        <v>11</v>
      </c>
      <c r="B26" s="33" t="s">
        <v>31</v>
      </c>
    </row>
    <row r="27" spans="1:2">
      <c r="A27" s="32" t="s">
        <v>12</v>
      </c>
      <c r="B27" s="35" t="s">
        <v>56</v>
      </c>
    </row>
    <row r="28" spans="1:2">
      <c r="A28" s="32" t="s">
        <v>13</v>
      </c>
      <c r="B28" s="32" t="s">
        <v>35</v>
      </c>
    </row>
    <row r="29" spans="1:2">
      <c r="A29" s="32" t="s">
        <v>14</v>
      </c>
      <c r="B29" s="35" t="s">
        <v>49</v>
      </c>
    </row>
    <row r="30" spans="1:2">
      <c r="A30" s="32" t="s">
        <v>15</v>
      </c>
      <c r="B30" s="36"/>
    </row>
    <row r="31" spans="1:2" ht="14.6">
      <c r="A31" s="32" t="s">
        <v>30</v>
      </c>
      <c r="B31" s="41"/>
    </row>
    <row r="32" spans="1:2">
      <c r="A32" s="32"/>
      <c r="B32" s="37"/>
    </row>
    <row r="33" spans="1:2">
      <c r="A33" s="32" t="s">
        <v>10</v>
      </c>
      <c r="B33" s="33" t="s">
        <v>55</v>
      </c>
    </row>
    <row r="34" spans="1:2">
      <c r="A34" s="32" t="s">
        <v>11</v>
      </c>
      <c r="B34" s="33" t="s">
        <v>31</v>
      </c>
    </row>
    <row r="35" spans="1:2">
      <c r="A35" s="32" t="s">
        <v>12</v>
      </c>
      <c r="B35" s="35" t="s">
        <v>56</v>
      </c>
    </row>
    <row r="36" spans="1:2">
      <c r="A36" s="32" t="s">
        <v>13</v>
      </c>
      <c r="B36" s="32" t="s">
        <v>36</v>
      </c>
    </row>
    <row r="37" spans="1:2">
      <c r="A37" s="32" t="s">
        <v>14</v>
      </c>
      <c r="B37" s="35">
        <v>27091</v>
      </c>
    </row>
    <row r="38" spans="1:2">
      <c r="A38" s="32" t="s">
        <v>15</v>
      </c>
      <c r="B38" s="36"/>
    </row>
    <row r="39" spans="1:2" ht="14.6">
      <c r="A39" s="32" t="s">
        <v>30</v>
      </c>
      <c r="B39" s="41"/>
    </row>
    <row r="40" spans="1:2">
      <c r="A40" s="32"/>
      <c r="B40" s="37"/>
    </row>
    <row r="41" spans="1:2">
      <c r="A41" s="32" t="s">
        <v>10</v>
      </c>
      <c r="B41" s="33" t="s">
        <v>55</v>
      </c>
    </row>
    <row r="42" spans="1:2">
      <c r="A42" s="32" t="s">
        <v>11</v>
      </c>
      <c r="B42" s="33" t="s">
        <v>31</v>
      </c>
    </row>
    <row r="43" spans="1:2">
      <c r="A43" s="32" t="s">
        <v>12</v>
      </c>
      <c r="B43" s="35" t="s">
        <v>56</v>
      </c>
    </row>
    <row r="44" spans="1:2">
      <c r="A44" s="32" t="s">
        <v>13</v>
      </c>
      <c r="B44" s="32" t="s">
        <v>37</v>
      </c>
    </row>
    <row r="45" spans="1:2">
      <c r="A45" s="32" t="s">
        <v>14</v>
      </c>
      <c r="B45" s="35">
        <v>27548</v>
      </c>
    </row>
    <row r="46" spans="1:2">
      <c r="A46" s="32" t="s">
        <v>15</v>
      </c>
      <c r="B46" s="36"/>
    </row>
    <row r="47" spans="1:2" ht="14.6">
      <c r="A47" s="32" t="s">
        <v>30</v>
      </c>
      <c r="B47" s="41"/>
    </row>
    <row r="48" spans="1:2">
      <c r="A48" s="32"/>
      <c r="B48" s="37"/>
    </row>
    <row r="49" spans="1:2">
      <c r="A49" s="32" t="s">
        <v>10</v>
      </c>
      <c r="B49" s="33" t="s">
        <v>55</v>
      </c>
    </row>
    <row r="50" spans="1:2">
      <c r="A50" s="32" t="s">
        <v>11</v>
      </c>
      <c r="B50" s="33" t="s">
        <v>31</v>
      </c>
    </row>
    <row r="51" spans="1:2">
      <c r="A51" s="32" t="s">
        <v>12</v>
      </c>
      <c r="B51" s="35" t="s">
        <v>56</v>
      </c>
    </row>
    <row r="52" spans="1:2">
      <c r="A52" s="32" t="s">
        <v>13</v>
      </c>
      <c r="B52" s="32" t="s">
        <v>38</v>
      </c>
    </row>
    <row r="53" spans="1:2">
      <c r="A53" s="32" t="s">
        <v>14</v>
      </c>
      <c r="B53" s="35" t="s">
        <v>50</v>
      </c>
    </row>
    <row r="54" spans="1:2">
      <c r="A54" s="32" t="s">
        <v>15</v>
      </c>
      <c r="B54" s="36"/>
    </row>
    <row r="55" spans="1:2" ht="14.6">
      <c r="A55" s="32" t="s">
        <v>30</v>
      </c>
      <c r="B55" s="41"/>
    </row>
    <row r="56" spans="1:2">
      <c r="A56" s="32"/>
      <c r="B56" s="37"/>
    </row>
    <row r="57" spans="1:2">
      <c r="A57" s="32" t="s">
        <v>10</v>
      </c>
      <c r="B57" s="33" t="s">
        <v>55</v>
      </c>
    </row>
    <row r="58" spans="1:2">
      <c r="A58" s="32" t="s">
        <v>11</v>
      </c>
      <c r="B58" s="33" t="s">
        <v>31</v>
      </c>
    </row>
    <row r="59" spans="1:2">
      <c r="A59" s="32" t="s">
        <v>12</v>
      </c>
      <c r="B59" s="35" t="s">
        <v>56</v>
      </c>
    </row>
    <row r="60" spans="1:2">
      <c r="A60" s="32" t="s">
        <v>13</v>
      </c>
      <c r="B60" s="32" t="s">
        <v>39</v>
      </c>
    </row>
    <row r="61" spans="1:2">
      <c r="A61" s="32" t="s">
        <v>14</v>
      </c>
      <c r="B61" s="35" t="s">
        <v>51</v>
      </c>
    </row>
    <row r="62" spans="1:2">
      <c r="A62" s="32" t="s">
        <v>15</v>
      </c>
      <c r="B62" s="36"/>
    </row>
    <row r="63" spans="1:2" ht="14.6">
      <c r="A63" s="32" t="s">
        <v>30</v>
      </c>
      <c r="B63" s="41"/>
    </row>
    <row r="64" spans="1:2">
      <c r="A64" s="32"/>
      <c r="B64" s="37"/>
    </row>
    <row r="65" spans="1:2">
      <c r="A65" s="32" t="s">
        <v>10</v>
      </c>
      <c r="B65" s="33" t="s">
        <v>55</v>
      </c>
    </row>
    <row r="66" spans="1:2">
      <c r="A66" s="32" t="s">
        <v>11</v>
      </c>
      <c r="B66" s="33" t="s">
        <v>31</v>
      </c>
    </row>
    <row r="67" spans="1:2">
      <c r="A67" s="32" t="s">
        <v>12</v>
      </c>
      <c r="B67" s="35" t="s">
        <v>56</v>
      </c>
    </row>
    <row r="68" spans="1:2">
      <c r="A68" s="32" t="s">
        <v>13</v>
      </c>
      <c r="B68" s="32" t="s">
        <v>40</v>
      </c>
    </row>
    <row r="69" spans="1:2">
      <c r="A69" s="32" t="s">
        <v>14</v>
      </c>
      <c r="B69" s="35" t="s">
        <v>52</v>
      </c>
    </row>
    <row r="70" spans="1:2">
      <c r="A70" s="32" t="s">
        <v>15</v>
      </c>
      <c r="B70" s="36"/>
    </row>
    <row r="71" spans="1:2" ht="14.6">
      <c r="A71" s="32" t="s">
        <v>30</v>
      </c>
      <c r="B71" s="41"/>
    </row>
    <row r="72" spans="1:2">
      <c r="A72" s="32"/>
      <c r="B72" s="37"/>
    </row>
    <row r="73" spans="1:2">
      <c r="A73" s="32" t="s">
        <v>10</v>
      </c>
      <c r="B73" s="33" t="s">
        <v>55</v>
      </c>
    </row>
    <row r="74" spans="1:2">
      <c r="A74" s="32" t="s">
        <v>11</v>
      </c>
      <c r="B74" s="33" t="s">
        <v>31</v>
      </c>
    </row>
    <row r="75" spans="1:2">
      <c r="A75" s="32" t="s">
        <v>12</v>
      </c>
      <c r="B75" s="35" t="s">
        <v>56</v>
      </c>
    </row>
    <row r="76" spans="1:2">
      <c r="A76" s="32" t="s">
        <v>13</v>
      </c>
      <c r="B76" s="32" t="s">
        <v>41</v>
      </c>
    </row>
    <row r="77" spans="1:2">
      <c r="A77" s="32" t="s">
        <v>14</v>
      </c>
      <c r="B77" s="35" t="s">
        <v>53</v>
      </c>
    </row>
    <row r="78" spans="1:2">
      <c r="A78" s="32" t="s">
        <v>15</v>
      </c>
      <c r="B78" s="36"/>
    </row>
    <row r="79" spans="1:2" ht="14.6">
      <c r="A79" s="32" t="s">
        <v>30</v>
      </c>
      <c r="B79" s="41"/>
    </row>
    <row r="80" spans="1:2">
      <c r="A80" s="32"/>
      <c r="B80" s="37"/>
    </row>
    <row r="81" spans="1:2">
      <c r="A81" s="32" t="s">
        <v>10</v>
      </c>
      <c r="B81" s="33" t="s">
        <v>55</v>
      </c>
    </row>
    <row r="82" spans="1:2">
      <c r="A82" s="32" t="s">
        <v>11</v>
      </c>
      <c r="B82" s="33" t="s">
        <v>31</v>
      </c>
    </row>
    <row r="83" spans="1:2">
      <c r="A83" s="32" t="s">
        <v>12</v>
      </c>
      <c r="B83" s="35" t="s">
        <v>56</v>
      </c>
    </row>
    <row r="84" spans="1:2">
      <c r="A84" s="32" t="s">
        <v>13</v>
      </c>
      <c r="B84" s="32" t="s">
        <v>42</v>
      </c>
    </row>
    <row r="85" spans="1:2">
      <c r="A85" s="32" t="s">
        <v>14</v>
      </c>
      <c r="B85" s="35">
        <v>29864</v>
      </c>
    </row>
    <row r="86" spans="1:2">
      <c r="A86" s="32" t="s">
        <v>15</v>
      </c>
      <c r="B86" s="36"/>
    </row>
    <row r="87" spans="1:2" ht="14.6">
      <c r="A87" s="32" t="s">
        <v>30</v>
      </c>
      <c r="B87" s="41"/>
    </row>
    <row r="88" spans="1:2">
      <c r="A88" s="32"/>
      <c r="B88" s="37"/>
    </row>
    <row r="89" spans="1:2">
      <c r="A89" s="32" t="s">
        <v>10</v>
      </c>
      <c r="B89" s="33" t="s">
        <v>55</v>
      </c>
    </row>
    <row r="90" spans="1:2">
      <c r="A90" s="32" t="s">
        <v>11</v>
      </c>
      <c r="B90" s="33" t="s">
        <v>31</v>
      </c>
    </row>
    <row r="91" spans="1:2">
      <c r="A91" s="32" t="s">
        <v>12</v>
      </c>
      <c r="B91" s="35" t="s">
        <v>56</v>
      </c>
    </row>
    <row r="92" spans="1:2">
      <c r="A92" s="32" t="s">
        <v>13</v>
      </c>
      <c r="B92" s="32" t="s">
        <v>43</v>
      </c>
    </row>
    <row r="93" spans="1:2">
      <c r="A93" s="32" t="s">
        <v>14</v>
      </c>
      <c r="B93" s="35" t="s">
        <v>54</v>
      </c>
    </row>
    <row r="94" spans="1:2">
      <c r="A94" s="32" t="s">
        <v>15</v>
      </c>
      <c r="B94" s="36"/>
    </row>
    <row r="95" spans="1:2" ht="14.6">
      <c r="A95" s="32" t="s">
        <v>30</v>
      </c>
      <c r="B95" s="41"/>
    </row>
    <row r="96" spans="1:2">
      <c r="A96" s="32"/>
      <c r="B96" s="37"/>
    </row>
    <row r="97" spans="1:2">
      <c r="A97" s="32" t="s">
        <v>10</v>
      </c>
      <c r="B97" s="33" t="s">
        <v>55</v>
      </c>
    </row>
    <row r="98" spans="1:2">
      <c r="A98" s="32" t="s">
        <v>11</v>
      </c>
      <c r="B98" s="33" t="s">
        <v>31</v>
      </c>
    </row>
    <row r="99" spans="1:2">
      <c r="A99" s="32" t="s">
        <v>12</v>
      </c>
      <c r="B99" s="35" t="s">
        <v>56</v>
      </c>
    </row>
    <row r="100" spans="1:2">
      <c r="A100" s="32" t="s">
        <v>13</v>
      </c>
      <c r="B100" s="32" t="s">
        <v>44</v>
      </c>
    </row>
    <row r="101" spans="1:2">
      <c r="A101" s="32" t="s">
        <v>14</v>
      </c>
      <c r="B101" s="35">
        <v>28128</v>
      </c>
    </row>
    <row r="102" spans="1:2">
      <c r="A102" s="32" t="s">
        <v>15</v>
      </c>
      <c r="B102" s="36"/>
    </row>
    <row r="103" spans="1:2" ht="14.6">
      <c r="A103" s="32" t="s">
        <v>30</v>
      </c>
      <c r="B103" s="41"/>
    </row>
    <row r="104" spans="1:2">
      <c r="A104" s="32"/>
      <c r="B104" s="37"/>
    </row>
    <row r="105" spans="1:2">
      <c r="A105" s="32" t="s">
        <v>10</v>
      </c>
      <c r="B105" s="33" t="s">
        <v>55</v>
      </c>
    </row>
    <row r="106" spans="1:2">
      <c r="A106" s="32" t="s">
        <v>11</v>
      </c>
      <c r="B106" s="33" t="s">
        <v>31</v>
      </c>
    </row>
    <row r="107" spans="1:2">
      <c r="A107" s="32" t="s">
        <v>12</v>
      </c>
      <c r="B107" s="35" t="s">
        <v>56</v>
      </c>
    </row>
    <row r="108" spans="1:2">
      <c r="A108" s="32" t="s">
        <v>13</v>
      </c>
      <c r="B108" s="32" t="s">
        <v>45</v>
      </c>
    </row>
    <row r="109" spans="1:2">
      <c r="A109" s="32" t="s">
        <v>14</v>
      </c>
      <c r="B109" s="35">
        <v>29229</v>
      </c>
    </row>
    <row r="110" spans="1:2">
      <c r="A110" s="32" t="s">
        <v>15</v>
      </c>
      <c r="B110" s="36"/>
    </row>
    <row r="111" spans="1:2" ht="14.6">
      <c r="A111" s="32" t="s">
        <v>30</v>
      </c>
      <c r="B111" s="41"/>
    </row>
    <row r="112" spans="1:2">
      <c r="A112" s="32"/>
      <c r="B112" s="37"/>
    </row>
    <row r="113" spans="1:2">
      <c r="A113" s="32" t="s">
        <v>10</v>
      </c>
      <c r="B113" s="33" t="s">
        <v>55</v>
      </c>
    </row>
    <row r="114" spans="1:2">
      <c r="A114" s="32" t="s">
        <v>11</v>
      </c>
      <c r="B114" s="33" t="s">
        <v>31</v>
      </c>
    </row>
    <row r="115" spans="1:2">
      <c r="A115" s="32" t="s">
        <v>12</v>
      </c>
      <c r="B115" s="35" t="s">
        <v>56</v>
      </c>
    </row>
    <row r="116" spans="1:2">
      <c r="A116" s="32" t="s">
        <v>13</v>
      </c>
      <c r="B116" s="32" t="s">
        <v>46</v>
      </c>
    </row>
    <row r="117" spans="1:2">
      <c r="A117" s="32" t="s">
        <v>14</v>
      </c>
      <c r="B117" s="35">
        <v>38434</v>
      </c>
    </row>
    <row r="118" spans="1:2">
      <c r="A118" s="32" t="s">
        <v>15</v>
      </c>
      <c r="B118" s="36"/>
    </row>
    <row r="119" spans="1:2" ht="14.6">
      <c r="A119" s="32" t="s">
        <v>30</v>
      </c>
      <c r="B119" s="41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Original</vt:lpstr>
      <vt:lpstr>Info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Admin</cp:lastModifiedBy>
  <cp:lastPrinted>2021-09-07T03:30:22Z</cp:lastPrinted>
  <dcterms:created xsi:type="dcterms:W3CDTF">2021-07-15T07:47:52Z</dcterms:created>
  <dcterms:modified xsi:type="dcterms:W3CDTF">2023-03-01T09:17:40Z</dcterms:modified>
</cp:coreProperties>
</file>